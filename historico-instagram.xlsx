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b19988404948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dos Mensais" sheetId="1" r:id="Rcb787c6f615b4b16"/>
    <x:sheet xmlns:r="http://schemas.openxmlformats.org/officeDocument/2006/relationships" name="Dashboard" sheetId="2" r:id="R62dd1232e2e242e3"/>
    <x:sheet xmlns:r="http://schemas.openxmlformats.org/officeDocument/2006/relationships" name="Como Usar" sheetId="3" r:id="R2641da74dc7f4d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mmm/yyyy"/>
    <x:numFmt numFmtId="201" formatCode="#,##0"/>
    <x:numFmt numFmtId="202" formatCode="0%"/>
    <x:numFmt numFmtId="203" formatCode="0.0%"/>
    <x:numFmt numFmtId="204" formatCode="@"/>
  </x:numFmts>
  <x:fonts count="10">
    <x:font>
      <x:sz val="11"/>
      <x:name val="Carlito"/>
    </x:font>
    <x:font>
      <x:b/>
      <x:sz val="11"/>
      <x:color rgb="FFFFFFFF"/>
      <x:name val="Carlito"/>
    </x:font>
    <x:font>
      <x:b/>
      <x:sz val="20"/>
      <x:color rgb="FFFFFFFF"/>
      <x:name val="Carlito"/>
    </x:font>
    <x:font>
      <x:i/>
      <x:sz val="11"/>
      <x:color rgb="FFCBD5E1"/>
      <x:name val="Carlito"/>
    </x:font>
    <x:font>
      <x:sz val="11"/>
      <x:color rgb="FF0B1220"/>
      <x:name val="Carlito"/>
    </x:font>
    <x:font>
      <x:b/>
      <x:sz val="10"/>
      <x:color rgb="FF64748B"/>
      <x:name val="Carlito"/>
    </x:font>
    <x:font>
      <x:b/>
      <x:sz val="20"/>
      <x:color rgb="FFF97316"/>
      <x:name val="Carlito"/>
    </x:font>
    <x:font>
      <x:b/>
      <x:sz val="11"/>
      <x:color rgb="FF334155"/>
      <x:name val="Carlito"/>
    </x:font>
    <x:font>
      <x:b/>
      <x:sz val="18"/>
      <x:color rgb="FFFFFFFF"/>
      <x:name val="Carlito"/>
    </x:font>
    <x:font>
      <x:sz val="12"/>
      <x:color rgb="FF334155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B1220"/>
      </x:patternFill>
    </x:fill>
    <x:fill>
      <x:patternFill patternType="solid">
        <x:fgColor rgb="FFF8FAFC"/>
      </x:patternFill>
    </x:fill>
    <x:fill>
      <x:patternFill patternType="solid">
        <x:fgColor rgb="FF111827"/>
      </x:patternFill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0"/>
  </x:cellStyleXfs>
  <x:cellXfs count="7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5" fillId="5" borderId="1" xfId="0" applyNumberFormat="1" applyFont="1" applyFill="1" applyBorder="1" applyAlignment="1">
      <x:alignment horizontal="center" vertical="center"/>
    </x:xf>
    <x:xf numFmtId="0" fontId="6" fillId="5" borderId="0" xfId="0" applyNumberFormat="1" applyFont="1" applyFill="1" applyBorder="1" applyAlignment="1">
      <x:alignment horizontal="center" vertical="center"/>
    </x:xf>
    <x:xf numFmtId="0" fontId="6" fillId="5" borderId="1" xfId="0" applyNumberFormat="1" applyFont="1" applyFill="1" applyBorder="1" applyAlignment="1">
      <x:alignment horizontal="center" vertical="center"/>
    </x:xf>
    <x:xf numFmtId="201" fontId="6" fillId="5" borderId="0" xfId="0" applyNumberFormat="1" applyFont="1" applyFill="1" applyBorder="1" applyAlignment="1">
      <x:alignment horizontal="center" vertical="center"/>
    </x:xf>
    <x:xf numFmtId="201" fontId="6" fillId="5" borderId="1" xfId="0" applyNumberFormat="1" applyFont="1" applyFill="1" applyBorder="1" applyAlignment="1">
      <x:alignment horizontal="center" vertical="center"/>
    </x:xf>
    <x:xf numFmtId="204" fontId="6" fillId="5" borderId="0" xfId="0" applyNumberFormat="1" applyFont="1" applyFill="1" applyBorder="1" applyAlignment="1">
      <x:alignment horizontal="center" vertical="center"/>
    </x:xf>
    <x:xf numFmtId="204" fontId="6" fillId="5" borderId="1" xfId="0" applyNumberFormat="1" applyFont="1" applyFill="1" applyBorder="1" applyAlignment="1">
      <x:alignment horizontal="center" vertical="center"/>
    </x:xf>
    <x:xf numFmtId="202" fontId="6" fillId="5" borderId="0" xfId="0" applyNumberFormat="1" applyFont="1" applyFill="1" applyBorder="1" applyAlignment="1">
      <x:alignment horizontal="center" vertical="center"/>
    </x:xf>
    <x:xf numFmtId="202" fontId="6" fillId="5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7" fillId="5" borderId="0" xfId="0" applyNumberFormat="1" applyFont="1" applyFill="1" applyBorder="1"/>
    <x:xf numFmtId="0" fontId="7" fillId="5" borderId="1" xfId="0" applyNumberFormat="1" applyFont="1" applyFill="1" applyBorder="1"/>
    <x:xf numFmtId="201" fontId="0" fillId="5" borderId="0" xfId="0" applyNumberFormat="1" applyFont="1" applyFill="1" applyBorder="1"/>
    <x:xf numFmtId="201" fontId="0" fillId="5" borderId="1" xfId="0" applyNumberFormat="1" applyFont="1" applyFill="1" applyBorder="1"/>
    <x:xf numFmtId="202" fontId="0" fillId="5" borderId="0" xfId="0" applyNumberFormat="1" applyFont="1" applyFill="1" applyBorder="1"/>
    <x:xf numFmtId="202" fontId="0" fillId="5" borderId="1" xfId="0" applyNumberFormat="1" applyFont="1" applyFill="1" applyBorder="1"/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201" fontId="0" fillId="3" borderId="0" xfId="0" applyNumberFormat="1" applyFont="1" applyFill="1" applyBorder="1"/>
    <x:xf numFmtId="201" fontId="0" fillId="3" borderId="1" xfId="0" applyNumberFormat="1" applyFont="1" applyFill="1" applyBorder="1"/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horizontal="center"/>
    </x:xf>
    <x:xf numFmtId="0" fontId="8" fillId="2" borderId="0" xfId="0" applyNumberFormat="1" applyFont="1" applyFill="1" applyBorder="1" applyAlignment="1">
      <x:alignment horizontal="center" vertical="center"/>
    </x:xf>
    <x:xf numFmtId="0" fontId="8" fillId="2" borderId="1" xfId="0" applyNumberFormat="1" applyFont="1" applyFill="1" applyBorder="1"/>
    <x:xf numFmtId="0" fontId="8" fillId="2" borderId="1" xfId="0" applyNumberFormat="1" applyFont="1" applyFill="1" applyBorder="1" applyAlignment="1">
      <x:alignment horizontal="center"/>
    </x:xf>
    <x:xf numFmtId="0" fontId="8" fillId="2" borderId="1" xfId="0" applyNumberFormat="1" applyFont="1" applyFill="1" applyBorder="1" applyAlignment="1">
      <x:alignment horizontal="center" vertical="center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color rgb="FFDC2626"/>
      </x:font>
    </x:dxf>
    <x:dxf>
      <x:font>
        <x:color rgb="FF10B981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0245c9ef534674" /><Relationship Type="http://schemas.openxmlformats.org/officeDocument/2006/relationships/theme" Target="/xl/theme/theme1.xml" Id="R4a0bf02560734c97" /><Relationship Type="http://schemas.openxmlformats.org/officeDocument/2006/relationships/sharedStrings" Target="/xl/sharedStrings.xml" Id="Rafce3fda21a14eda" /><Relationship Type="http://schemas.openxmlformats.org/officeDocument/2006/relationships/worksheet" Target="/xl/worksheets/sheet1.xml" Id="Rcb787c6f615b4b16" /><Relationship Type="http://schemas.openxmlformats.org/officeDocument/2006/relationships/worksheet" Target="/xl/worksheets/sheet2.xml" Id="R62dd1232e2e242e3" /><Relationship Type="http://schemas.openxmlformats.org/officeDocument/2006/relationships/worksheet" Target="/xl/worksheets/sheet3.xml" Id="R2641da74dc7f4d5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322b6c716044f57" /><Relationship Type="http://schemas.openxmlformats.org/officeDocument/2006/relationships/chart" Target="/xl/drawings/charts/chart2.xml" Id="R3ba77af8c295482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Visualizações por mês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Visualizações</c:v>
          </c:tx>
          <c:cat>
            <c:strRef>
              <c:f>'Dados Mensais'!$B$2:$B$15</c:f>
              <c:strCache>
                <c:ptCount val="0"/>
              </c:strCache>
            </c:strRef>
          </c:cat>
          <c:val>
            <c:numRef>
              <c:f>'Dados Mensais'!$C$2:$C$15</c:f>
              <c:numCache>
                <c:formatCode>#,##0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Evolução de seguidores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Series 1</c:v>
          </c:tx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</c:ser>
        <c:ser>
          <c:idx val="1"/>
          <c:order val="1"/>
          <c:tx>
            <c:v>Seguidores</c:v>
          </c:tx>
          <c:cat>
            <c:strRef>
              <c:f>'Dados Mensais'!$B$2:$B$15</c:f>
              <c:strCache>
                <c:ptCount val="1"/>
                <c:pt idx="0">
                  <c:v>Item 1</c:v>
                </c:pt>
              </c:strCache>
            </c:strRef>
          </c:cat>
          <c:val>
            <c:numRef>
              <c:f>'Dados Mensais'!$E$2:$E$15</c:f>
              <c:numCache>
                <c:formatCode>General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10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322b6c716044f57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8</xdr:col>
      <xdr:colOff>0</xdr:colOff>
      <xdr:row>33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ba77af8c295482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HistoricoInstagram" displayName="HistoricoInstagram" ref="A1:J15" headerRowCount="1">
  <x:tableColumns count="10">
    <x:tableColumn id="1" name="Data"/>
    <x:tableColumn id="2" name="Mês/Ano"/>
    <x:tableColumn id="3" name="Visualizações"/>
    <x:tableColumn id="4" name="% Não seguidores"/>
    <x:tableColumn id="5" name="Seguidores (total)"/>
    <x:tableColumn id="6" name="Variação de views informada (%)"/>
    <x:tableColumn id="7" name="Novos seguidores informados"/>
    <x:tableColumn id="8" name="Variação mensal calculada (%)"/>
    <x:tableColumn id="9" name="Crescimento seguidores calculado"/>
    <x:tableColumn id="10" name="Observação do Instagram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f29695a1c0e45e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99aa18a8d6cc4208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7" hidden="0" customWidth="1"/>
    <x:col min="3" max="3" width="16" hidden="0" customWidth="1"/>
    <x:col min="4" max="4" width="18" hidden="0" customWidth="1"/>
    <x:col min="5" max="5" width="18" hidden="0" customWidth="1"/>
    <x:col min="6" max="6" width="23" hidden="0" customWidth="1"/>
    <x:col min="7" max="7" width="22" hidden="0" customWidth="1"/>
    <x:col min="8" max="8" width="22" hidden="0" customWidth="1"/>
    <x:col min="9" max="9" width="24" hidden="0" customWidth="1"/>
    <x:col min="10" max="10" width="38" hidden="0" customWidth="1"/>
  </x:cols>
  <x:sheetData>
    <x:row r="1">
      <x:c r="A1" s="6" t="str">
        <x:v>Data</x:v>
      </x:c>
      <x:c r="B1" s="6" t="str">
        <x:v>Mês/Ano</x:v>
      </x:c>
      <x:c r="C1" s="6" t="str">
        <x:v>Visualizações</x:v>
      </x:c>
      <x:c r="D1" s="6" t="str">
        <x:v>% Não seguidores</x:v>
      </x:c>
      <x:c r="E1" s="6" t="str">
        <x:v>Seguidores (total)</x:v>
      </x:c>
      <x:c r="F1" s="6" t="str">
        <x:v>Variação de views informada (%)</x:v>
      </x:c>
      <x:c r="G1" s="6" t="str">
        <x:v>Novos seguidores informados</x:v>
      </x:c>
      <x:c r="H1" s="6" t="str">
        <x:v>Variação mensal calculada (%)</x:v>
      </x:c>
      <x:c r="I1" s="6" t="str">
        <x:v>Crescimento seguidores calculado</x:v>
      </x:c>
      <x:c r="J1" s="6" t="str">
        <x:v>Observação do Instagram</x:v>
      </x:c>
    </x:row>
    <x:row r="2" ht="22" customHeight="1">
      <x:c r="A2" s="13" t="n">
        <x:v>45778</x:v>
      </x:c>
      <x:c r="B2" s="12" t="str">
        <x:v>Maio/2025</x:v>
      </x:c>
      <x:c r="C2" s="15" t="n">
        <x:v>177000</x:v>
      </x:c>
      <x:c r="D2" s="17" t="n">
        <x:v>0.93</x:v>
      </x:c>
      <x:c r="E2" s="12" t="n">
        <x:v>1400</x:v>
      </x:c>
      <x:c r="F2" s="17"/>
      <x:c r="G2" s="12" t="n">
        <x:v>263</x:v>
      </x:c>
      <x:c r="H2" s="19"/>
      <x:c r="I2" s="12"/>
      <x:c r="J2" s="12" t="str">
        <x:v>Você arrasou em Maio!</x:v>
      </x:c>
    </x:row>
    <x:row r="3" ht="22" customHeight="1">
      <x:c r="A3" s="13" t="n">
        <x:v>45809</x:v>
      </x:c>
      <x:c r="B3" s="12" t="str">
        <x:v>Junho/2025</x:v>
      </x:c>
      <x:c r="C3" s="15" t="n">
        <x:v>643000</x:v>
      </x:c>
      <x:c r="D3" s="17" t="n">
        <x:v>0.96</x:v>
      </x:c>
      <x:c r="E3" s="12" t="n">
        <x:v>1600</x:v>
      </x:c>
      <x:c r="F3" s="17" t="n">
        <x:v>2.63</x:v>
      </x:c>
      <x:c r="G3" s="12" t="n">
        <x:v>256</x:v>
      </x:c>
      <x:c r="H3" s="19" t="n">
        <x:f>IFERROR((C3/C2)-1,"")</x:f>
        <x:v>2.632768361581921</x:v>
      </x:c>
      <x:c r="I3" s="12" t="n">
        <x:f>E3-E2</x:f>
        <x:v>200</x:v>
      </x:c>
      <x:c r="J3" s="12" t="str">
        <x:v>Você arrasou em Junho!</x:v>
      </x:c>
    </x:row>
    <x:row r="4" ht="22" customHeight="1">
      <x:c r="A4" s="13" t="n">
        <x:v>45839</x:v>
      </x:c>
      <x:c r="B4" s="12" t="str">
        <x:v>Julho/2025</x:v>
      </x:c>
      <x:c r="C4" s="15" t="n">
        <x:v>1500000</x:v>
      </x:c>
      <x:c r="D4" s="17" t="n">
        <x:v>0.96</x:v>
      </x:c>
      <x:c r="E4" s="12" t="n">
        <x:v>2900</x:v>
      </x:c>
      <x:c r="F4" s="17" t="n">
        <x:v>1.43</x:v>
      </x:c>
      <x:c r="G4" s="12" t="n">
        <x:v>1275</x:v>
      </x:c>
      <x:c r="H4" s="19" t="n">
        <x:f>IFERROR((C4/C3)-1,"")</x:f>
        <x:v>1.332814930015552</x:v>
      </x:c>
      <x:c r="I4" s="12" t="n">
        <x:f>E4-E3</x:f>
        <x:v>1300</x:v>
      </x:c>
      <x:c r="J4" s="12" t="str">
        <x:v>Você arrasou em Julho!</x:v>
      </x:c>
    </x:row>
    <x:row r="5" ht="22" customHeight="1">
      <x:c r="A5" s="13" t="n">
        <x:v>45870</x:v>
      </x:c>
      <x:c r="B5" s="12" t="str">
        <x:v>Agosto/2025</x:v>
      </x:c>
      <x:c r="C5" s="15" t="n">
        <x:v>402000</x:v>
      </x:c>
      <x:c r="D5" s="17" t="n">
        <x:v>0.95</x:v>
      </x:c>
      <x:c r="E5" s="12" t="n">
        <x:v>4000</x:v>
      </x:c>
      <x:c r="F5" s="17"/>
      <x:c r="G5" s="12" t="n">
        <x:v>1088</x:v>
      </x:c>
      <x:c r="H5" s="19" t="n">
        <x:f>IFERROR((C5/C4)-1,"")</x:f>
        <x:v>-0.732</x:v>
      </x:c>
      <x:c r="I5" s="12" t="n">
        <x:f>E5-E4</x:f>
        <x:v>1100</x:v>
      </x:c>
      <x:c r="J5" s="12" t="str">
        <x:v>Saiba o que aconteceu em Agosto</x:v>
      </x:c>
    </x:row>
    <x:row r="6" ht="22" customHeight="1">
      <x:c r="A6" s="13" t="n">
        <x:v>45901</x:v>
      </x:c>
      <x:c r="B6" s="12" t="str">
        <x:v>Setembro/2025</x:v>
      </x:c>
      <x:c r="C6" s="15" t="n">
        <x:v>441000</x:v>
      </x:c>
      <x:c r="D6" s="17" t="n">
        <x:v>0.95</x:v>
      </x:c>
      <x:c r="E6" s="12" t="n">
        <x:v>4900</x:v>
      </x:c>
      <x:c r="F6" s="17" t="n">
        <x:v>0.09</x:v>
      </x:c>
      <x:c r="G6" s="12" t="n">
        <x:v>938</x:v>
      </x:c>
      <x:c r="H6" s="19" t="n">
        <x:f>IFERROR((C6/C5)-1,"")</x:f>
        <x:v>0.09701492537313428</x:v>
      </x:c>
      <x:c r="I6" s="12" t="n">
        <x:f>E6-E5</x:f>
        <x:v>900</x:v>
      </x:c>
      <x:c r="J6" s="12" t="str">
        <x:v>Você teve bons resultados em Setembro</x:v>
      </x:c>
    </x:row>
    <x:row r="7" ht="22" customHeight="1">
      <x:c r="A7" s="13" t="n">
        <x:v>45931</x:v>
      </x:c>
      <x:c r="B7" s="12" t="str">
        <x:v>Outubro/2025</x:v>
      </x:c>
      <x:c r="C7" s="15" t="n">
        <x:v>1000000</x:v>
      </x:c>
      <x:c r="D7" s="17" t="n">
        <x:v>0.96</x:v>
      </x:c>
      <x:c r="E7" s="12" t="n">
        <x:v>5800</x:v>
      </x:c>
      <x:c r="F7" s="17" t="n">
        <x:v>1.32</x:v>
      </x:c>
      <x:c r="G7" s="12" t="n">
        <x:v>895</x:v>
      </x:c>
      <x:c r="H7" s="19" t="n">
        <x:f>IFERROR((C7/C6)-1,"")</x:f>
        <x:v>1.2675736961451247</x:v>
      </x:c>
      <x:c r="I7" s="12" t="n">
        <x:f>E7-E6</x:f>
        <x:v>900</x:v>
      </x:c>
      <x:c r="J7" s="12" t="str">
        <x:v>Você arrasou em Outubro!</x:v>
      </x:c>
    </x:row>
    <x:row r="8" ht="22" customHeight="1">
      <x:c r="A8" s="13" t="n">
        <x:v>45962</x:v>
      </x:c>
      <x:c r="B8" s="12" t="str">
        <x:v>Novembro/2025</x:v>
      </x:c>
      <x:c r="C8" s="15" t="n">
        <x:v>941000</x:v>
      </x:c>
      <x:c r="D8" s="17" t="n">
        <x:v>0.94</x:v>
      </x:c>
      <x:c r="E8" s="12" t="n">
        <x:v>7100</x:v>
      </x:c>
      <x:c r="F8" s="17"/>
      <x:c r="G8" s="12" t="n">
        <x:v>1248</x:v>
      </x:c>
      <x:c r="H8" s="19" t="n">
        <x:f>IFERROR((C8/C7)-1,"")</x:f>
        <x:v>-0.05900000000000005</x:v>
      </x:c>
      <x:c r="I8" s="12" t="n">
        <x:f>E8-E7</x:f>
        <x:v>1300</x:v>
      </x:c>
      <x:c r="J8" s="12" t="str">
        <x:v>Você teve bons resultados em Novembro</x:v>
      </x:c>
    </x:row>
    <x:row r="9" ht="22" customHeight="1">
      <x:c r="A9" s="13" t="n">
        <x:v>45992</x:v>
      </x:c>
      <x:c r="B9" s="12" t="str">
        <x:v>Dezembro/2025</x:v>
      </x:c>
      <x:c r="C9" s="15" t="n">
        <x:v>869000</x:v>
      </x:c>
      <x:c r="D9" s="17" t="n">
        <x:v>0.95</x:v>
      </x:c>
      <x:c r="E9" s="12" t="n">
        <x:v>8200</x:v>
      </x:c>
      <x:c r="F9" s="17"/>
      <x:c r="G9" s="12" t="n">
        <x:v>1222</x:v>
      </x:c>
      <x:c r="H9" s="19" t="n">
        <x:f>IFERROR((C9/C8)-1,"")</x:f>
        <x:v>-0.07651434643995747</x:v>
      </x:c>
      <x:c r="I9" s="12" t="n">
        <x:f>E9-E8</x:f>
        <x:v>1100</x:v>
      </x:c>
      <x:c r="J9" s="12" t="str">
        <x:v>Você teve bons resultados em Dezembro</x:v>
      </x:c>
    </x:row>
    <x:row r="10" ht="22" customHeight="1">
      <x:c r="A10" s="13" t="n">
        <x:v>46023</x:v>
      </x:c>
      <x:c r="B10" s="12" t="str">
        <x:v>Janeiro/2026</x:v>
      </x:c>
      <x:c r="C10" s="15" t="n">
        <x:v>1100000</x:v>
      </x:c>
      <x:c r="D10" s="17" t="n">
        <x:v>0.95</x:v>
      </x:c>
      <x:c r="E10" s="12" t="n">
        <x:v>9100</x:v>
      </x:c>
      <x:c r="F10" s="17" t="n">
        <x:v>0.36</x:v>
      </x:c>
      <x:c r="G10" s="12" t="n">
        <x:v>924</x:v>
      </x:c>
      <x:c r="H10" s="19" t="n">
        <x:f>IFERROR((C10/C9)-1,"")</x:f>
        <x:v>0.26582278481012667</x:v>
      </x:c>
      <x:c r="I10" s="12" t="n">
        <x:f>E10-E9</x:f>
        <x:v>900</x:v>
      </x:c>
      <x:c r="J10" s="12" t="str">
        <x:v>Você arrasou em Janeiro!</x:v>
      </x:c>
    </x:row>
    <x:row r="11" ht="22" customHeight="1">
      <x:c r="A11" s="13" t="n">
        <x:v>46054</x:v>
      </x:c>
      <x:c r="B11" s="12" t="str">
        <x:v>Fevereiro/2026</x:v>
      </x:c>
      <x:c r="C11" s="15" t="n">
        <x:v>6000000</x:v>
      </x:c>
      <x:c r="D11" s="17" t="n">
        <x:v>0.94</x:v>
      </x:c>
      <x:c r="E11" s="12" t="n">
        <x:v>22000</x:v>
      </x:c>
      <x:c r="F11" s="17" t="n">
        <x:v>4.08</x:v>
      </x:c>
      <x:c r="G11" s="12" t="n">
        <x:v>13746</x:v>
      </x:c>
      <x:c r="H11" s="19" t="n">
        <x:f>IFERROR((C11/C10)-1,"")</x:f>
        <x:v>4.454545454545454</x:v>
      </x:c>
      <x:c r="I11" s="12" t="n">
        <x:f>E11-E10</x:f>
        <x:v>12900</x:v>
      </x:c>
      <x:c r="J11" s="12" t="str">
        <x:v>Você arrasou em Fevereiro!</x:v>
      </x:c>
    </x:row>
    <x:row r="12" ht="22" customHeight="1">
      <x:c r="A12" s="13" t="n">
        <x:v>46082</x:v>
      </x:c>
      <x:c r="B12" s="12" t="str">
        <x:v>Março/2026</x:v>
      </x:c>
      <x:c r="C12" s="15" t="n">
        <x:v>1700000</x:v>
      </x:c>
      <x:c r="D12" s="17" t="n">
        <x:v>0.95</x:v>
      </x:c>
      <x:c r="E12" s="12" t="n">
        <x:v>25000</x:v>
      </x:c>
      <x:c r="F12" s="17"/>
      <x:c r="G12" s="12" t="n">
        <x:v>3019</x:v>
      </x:c>
      <x:c r="H12" s="19" t="n">
        <x:f>IFERROR((C12/C11)-1,"")</x:f>
        <x:v>-0.7166666666666667</x:v>
      </x:c>
      <x:c r="I12" s="12" t="n">
        <x:f>E12-E11</x:f>
        <x:v>3000</x:v>
      </x:c>
      <x:c r="J12" s="12" t="str">
        <x:v>Saiba o que aconteceu em Março</x:v>
      </x:c>
    </x:row>
    <x:row r="13" ht="22" customHeight="1">
      <x:c r="A13" s="13" t="n">
        <x:v>46113</x:v>
      </x:c>
      <x:c r="B13" s="12" t="str">
        <x:v>Abril/2026</x:v>
      </x:c>
      <x:c r="C13" s="15" t="n">
        <x:v>684000</x:v>
      </x:c>
      <x:c r="D13" s="17" t="n">
        <x:v>0.93</x:v>
      </x:c>
      <x:c r="E13" s="12" t="n">
        <x:v>26000</x:v>
      </x:c>
      <x:c r="F13" s="17"/>
      <x:c r="G13" s="12" t="n">
        <x:v>859</x:v>
      </x:c>
      <x:c r="H13" s="19" t="n">
        <x:f>IFERROR((C13/C12)-1,"")</x:f>
        <x:v>-0.5976470588235294</x:v>
      </x:c>
      <x:c r="I13" s="12" t="n">
        <x:f>E13-E12</x:f>
        <x:v>1000</x:v>
      </x:c>
      <x:c r="J13" s="12" t="str">
        <x:v>Saiba o que aconteceu em Abril</x:v>
      </x:c>
    </x:row>
    <x:row r="14" ht="22" customHeight="1">
      <x:c r="A14" s="13" t="n">
        <x:v>46143</x:v>
      </x:c>
      <x:c r="B14" s="12" t="str">
        <x:v>Maio/2026</x:v>
      </x:c>
      <x:c r="C14" s="15" t="n">
        <x:v>472000</x:v>
      </x:c>
      <x:c r="D14" s="17" t="n">
        <x:v>0.93</x:v>
      </x:c>
      <x:c r="E14" s="12" t="n">
        <x:v>26000</x:v>
      </x:c>
      <x:c r="F14" s="17"/>
      <x:c r="G14" s="12" t="n">
        <x:v>422</x:v>
      </x:c>
      <x:c r="H14" s="19" t="n">
        <x:f>IFERROR((C14/C13)-1,"")</x:f>
        <x:v>-0.3099415204678363</x:v>
      </x:c>
      <x:c r="I14" s="12" t="n">
        <x:f>E14-E13</x:f>
        <x:v>0</x:v>
      </x:c>
      <x:c r="J14" s="12" t="str">
        <x:v>Saiba o que aconteceu em Maio</x:v>
      </x:c>
    </x:row>
    <x:row r="15" ht="22" customHeight="1">
      <x:c r="A15" s="13" t="n">
        <x:v>46174</x:v>
      </x:c>
      <x:c r="B15" s="12" t="str">
        <x:v>Junho/2026</x:v>
      </x:c>
      <x:c r="C15" s="15" t="n">
        <x:v>1200000</x:v>
      </x:c>
      <x:c r="D15" s="17" t="n">
        <x:v>0.93</x:v>
      </x:c>
      <x:c r="E15" s="12" t="n">
        <x:v>29000</x:v>
      </x:c>
      <x:c r="F15" s="17" t="n">
        <x:v>1.66</x:v>
      </x:c>
      <x:c r="G15" s="12" t="n">
        <x:v>3030</x:v>
      </x:c>
      <x:c r="H15" s="19" t="n">
        <x:f>IFERROR((C15/C14)-1,"")</x:f>
        <x:v>1.542372881355932</x:v>
      </x:c>
      <x:c r="I15" s="12" t="n">
        <x:f>E15-E14</x:f>
        <x:v>3000</x:v>
      </x:c>
      <x:c r="J15" s="12" t="str">
        <x:v>Você arrasou em Junho!</x:v>
      </x:c>
    </x:row>
  </x:sheetData>
  <x:conditionalFormatting sqref="C2:C15">
    <x:cfRule type="dataBar" priority="1">
      <x:dataBar>
        <x:cfvo type="min"/>
        <x:cfvo type="max"/>
        <x:color rgb="FFF97316"/>
      </x:dataBar>
      <x:extLst>
        <x:ext xmlns:x14="http://schemas.microsoft.com/office/spreadsheetml/2009/9/main" uri="{B025F937-C7B1-47D3-B67F-A62EFF666E3E}">
          <x14:id>{39CCEDAA-4A02-F07F-58C2-134A0BF6393B}</x14:id>
        </x:ext>
      </x:extLst>
    </x:cfRule>
  </x:conditionalFormatting>
  <x:conditionalFormatting sqref="H3:H15">
    <x:cfRule type="cellIs" dxfId="0" priority="2" operator="lessThan">
      <x:formula>0</x:formula>
    </x:cfRule>
    <x:cfRule type="cellIs" dxfId="1" priority="3" operator="greaterThanOrEqual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f29695a1c0e45ec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39CCEDAA-4A02-F07F-58C2-134A0BF6393B}">
            <x14:dataBar gradient="1">
              <x14:cfvo type="min"/>
              <x14:cfvo type="max"/>
              <x14:fillColor rgb="FFF97316"/>
            </x14:dataBar>
          </x14:cfRule>
          <xm:sqref>C2:C15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" hidden="0" customWidth="1"/>
    <x:col min="5" max="5" width="18" hidden="0" customWidth="1"/>
    <x:col min="6" max="6" width="18" hidden="0" customWidth="1"/>
    <x:col min="7" max="7" width="18" hidden="0" customWidth="1"/>
    <x:col min="8" max="8" width="3" hidden="0" customWidth="1"/>
    <x:col min="9" max="9" width="18" hidden="0" customWidth="1"/>
    <x:col min="10" max="10" width="18" hidden="0" customWidth="1"/>
    <x:col min="11" max="11" width="18" hidden="0" customWidth="1"/>
    <x:col min="12" max="12" width="3" hidden="0" customWidth="1"/>
    <x:col min="13" max="13" width="18" hidden="0" customWidth="1"/>
    <x:col min="14" max="14" width="18" hidden="0" customWidth="1"/>
  </x:cols>
  <x:sheetData>
    <x:row r="1">
      <x:c r="A1" s="25" t="str">
        <x:v>PELADA MUSICAL — HISTÓRICO DO INSTAGRAM</x:v>
      </x:c>
      <x:c r="B1" s="25"/>
      <x:c r="C1" s="25"/>
      <x:c r="D1" s="25"/>
      <x:c r="E1" s="25"/>
      <x:c r="F1" s="25"/>
      <x:c r="G1" s="25"/>
      <x:c r="H1" s="25"/>
      <x:c r="I1" s="25"/>
      <x:c r="J1" s="25"/>
      <x:c r="K1" s="25"/>
      <x:c r="L1" s="25"/>
      <x:c r="M1" s="25"/>
      <x:c r="N1" s="25"/>
    </x:row>
    <x:row r="2">
      <x:c r="A2" s="25"/>
      <x:c r="B2" s="25"/>
      <x:c r="C2" s="25"/>
      <x:c r="D2" s="25"/>
      <x:c r="E2" s="25"/>
      <x:c r="F2" s="25"/>
      <x:c r="G2" s="25"/>
      <x:c r="H2" s="25"/>
      <x:c r="I2" s="25"/>
      <x:c r="J2" s="25"/>
      <x:c r="K2" s="25"/>
      <x:c r="L2" s="25"/>
      <x:c r="M2" s="25"/>
      <x:c r="N2" s="25"/>
    </x:row>
    <x:row r="3">
      <x:c r="A3" s="31" t="str">
        <x:v>Maio/2025 a Junho/2026 • valores arredondados conforme os resumos mensais do Instagram</x:v>
      </x:c>
      <x:c r="B3" s="31"/>
      <x:c r="C3" s="31"/>
      <x:c r="D3" s="31"/>
      <x:c r="E3" s="31"/>
      <x:c r="F3" s="31"/>
      <x:c r="G3" s="31"/>
      <x:c r="H3" s="31"/>
      <x:c r="I3" s="31"/>
      <x:c r="J3" s="31"/>
      <x:c r="K3" s="31"/>
      <x:c r="L3" s="31"/>
      <x:c r="M3" s="31"/>
      <x:c r="N3" s="31"/>
    </x:row>
    <x:row r="4">
      <x:c r="A4" s="21"/>
      <x:c r="B4" s="21"/>
      <x:c r="C4" s="21"/>
      <x:c r="D4" s="21"/>
      <x:c r="E4" s="21"/>
      <x:c r="F4" s="21"/>
      <x:c r="G4" s="21"/>
      <x:c r="H4" s="21"/>
      <x:c r="I4" s="21"/>
      <x:c r="J4" s="21"/>
      <x:c r="K4" s="21"/>
      <x:c r="L4" s="21"/>
      <x:c r="M4" s="21"/>
      <x:c r="N4" s="21"/>
    </x:row>
    <x:row r="5">
      <x:c r="A5" s="43" t="str">
        <x:v>TOTAL DE VISUALIZAÇÕES</x:v>
      </x:c>
      <x:c r="B5" s="38"/>
      <x:c r="C5" s="38"/>
      <x:c r="D5" s="21"/>
      <x:c r="E5" s="43" t="str">
        <x:v>SEGUIDORES ATUAIS</x:v>
      </x:c>
      <x:c r="F5" s="38"/>
      <x:c r="G5" s="38"/>
      <x:c r="H5" s="21"/>
      <x:c r="I5" s="43" t="str">
        <x:v>MELHOR MÊS</x:v>
      </x:c>
      <x:c r="J5" s="38"/>
      <x:c r="K5" s="38"/>
      <x:c r="L5" s="21"/>
      <x:c r="M5" s="43" t="str">
        <x:v>PÚBLICO NÃO SEGUIDOR</x:v>
      </x:c>
      <x:c r="N5" s="38"/>
    </x:row>
    <x:row r="6">
      <x:c r="A6" s="38"/>
      <x:c r="B6" s="38"/>
      <x:c r="C6" s="38"/>
      <x:c r="D6" s="21"/>
      <x:c r="E6" s="38"/>
      <x:c r="F6" s="38"/>
      <x:c r="G6" s="38"/>
      <x:c r="H6" s="21"/>
      <x:c r="I6" s="38"/>
      <x:c r="J6" s="38"/>
      <x:c r="K6" s="38"/>
      <x:c r="L6" s="21"/>
      <x:c r="M6" s="38"/>
      <x:c r="N6" s="38"/>
    </x:row>
    <x:row r="7">
      <x:c r="A7" s="47" t="n">
        <x:f>SUM('Dados Mensais'!C2:C15)</x:f>
        <x:v>17129000</x:v>
      </x:c>
      <x:c r="B7" s="38"/>
      <x:c r="C7" s="38"/>
      <x:c r="D7" s="21"/>
      <x:c r="E7" s="47" t="n">
        <x:f>'Dados Mensais'!E15</x:f>
        <x:v>29000</x:v>
      </x:c>
      <x:c r="F7" s="38"/>
      <x:c r="G7" s="38"/>
      <x:c r="H7" s="21"/>
      <x:c r="I7" s="49" t="str">
        <x:f>INDEX('Dados Mensais'!B2:B15,MATCH(MAX('Dados Mensais'!C2:C15),'Dados Mensais'!C2:C15,0))</x:f>
        <x:v>Fevereiro/2026</x:v>
      </x:c>
      <x:c r="J7" s="38"/>
      <x:c r="K7" s="38"/>
      <x:c r="L7" s="21"/>
      <x:c r="M7" s="51" t="n">
        <x:f>AVERAGE('Dados Mensais'!D2:D15)</x:f>
        <x:v>0.945</x:v>
      </x:c>
      <x:c r="N7" s="38"/>
    </x:row>
    <x:row r="8">
      <x:c r="A8" s="38"/>
      <x:c r="B8" s="38"/>
      <x:c r="C8" s="38"/>
      <x:c r="D8" s="21"/>
      <x:c r="E8" s="38"/>
      <x:c r="F8" s="38"/>
      <x:c r="G8" s="38"/>
      <x:c r="H8" s="21"/>
      <x:c r="I8" s="38"/>
      <x:c r="J8" s="38"/>
      <x:c r="K8" s="38"/>
      <x:c r="L8" s="21"/>
      <x:c r="M8" s="38"/>
      <x:c r="N8" s="38"/>
    </x:row>
    <x:row r="9">
      <x:c r="A9" s="21"/>
      <x:c r="B9" s="21"/>
      <x:c r="C9" s="21"/>
      <x:c r="D9" s="21"/>
      <x:c r="E9" s="21"/>
      <x:c r="F9" s="21"/>
      <x:c r="G9" s="21"/>
      <x:c r="H9" s="21"/>
      <x:c r="I9" s="21"/>
      <x:c r="J9" s="21"/>
      <x:c r="K9" s="21"/>
      <x:c r="L9" s="21"/>
      <x:c r="M9" s="21"/>
      <x:c r="N9" s="21"/>
    </x:row>
    <x:row r="10">
      <x:c r="A10" s="21"/>
      <x:c r="B10" s="21"/>
      <x:c r="C10" s="21"/>
      <x:c r="D10" s="21"/>
      <x:c r="E10" s="21"/>
      <x:c r="F10" s="21"/>
      <x:c r="G10" s="21"/>
      <x:c r="H10" s="21"/>
      <x:c r="I10" s="21"/>
      <x:c r="J10" s="21"/>
      <x:c r="K10" s="21"/>
      <x:c r="L10" s="21"/>
      <x:c r="M10" s="21"/>
      <x:c r="N10" s="21"/>
    </x:row>
    <x:row r="11">
      <x:c r="A11" s="53" t="str">
        <x:v>RESUMO EXECUTIVO</x:v>
      </x:c>
      <x:c r="B11" s="53"/>
      <x:c r="C11" s="53"/>
      <x:c r="D11" s="53"/>
      <x:c r="E11" s="21"/>
      <x:c r="F11" s="21"/>
      <x:c r="G11" s="21"/>
      <x:c r="H11" s="21"/>
      <x:c r="I11" s="21"/>
      <x:c r="J11" s="21"/>
      <x:c r="K11" s="21"/>
      <x:c r="L11" s="21"/>
      <x:c r="M11" s="21"/>
      <x:c r="N11" s="21"/>
    </x:row>
    <x:row r="12">
      <x:c r="A12" s="55" t="str">
        <x:v>Período analisado</x:v>
      </x:c>
      <x:c r="B12" s="35" t="str">
        <x:v>Maio/2025 a Junho/2026</x:v>
      </x:c>
      <x:c r="C12" s="21"/>
      <x:c r="D12" s="21"/>
      <x:c r="E12" s="21"/>
      <x:c r="F12" s="21"/>
      <x:c r="G12" s="21"/>
      <x:c r="H12" s="21"/>
      <x:c r="I12" s="21"/>
      <x:c r="J12" s="21"/>
      <x:c r="K12" s="21"/>
      <x:c r="L12" s="21"/>
      <x:c r="M12" s="21"/>
      <x:c r="N12" s="21"/>
    </x:row>
    <x:row r="13">
      <x:c r="A13" s="55" t="str">
        <x:v>Meses analisados</x:v>
      </x:c>
      <x:c r="B13" s="35" t="n">
        <x:v>14</x:v>
      </x:c>
      <x:c r="C13" s="21"/>
      <x:c r="D13" s="21"/>
      <x:c r="E13" s="21"/>
      <x:c r="F13" s="21"/>
      <x:c r="G13" s="21"/>
      <x:c r="H13" s="21"/>
      <x:c r="I13" s="21"/>
      <x:c r="J13" s="21"/>
      <x:c r="K13" s="21"/>
      <x:c r="L13" s="21"/>
      <x:c r="M13" s="21"/>
      <x:c r="N13" s="21"/>
    </x:row>
    <x:row r="14">
      <x:c r="A14" s="55" t="str">
        <x:v>Média mensal de views</x:v>
      </x:c>
      <x:c r="B14" s="57" t="n">
        <x:f>AVERAGE('Dados Mensais'!C2:C15)</x:f>
        <x:v>1223500</x:v>
      </x:c>
      <x:c r="C14" s="21"/>
      <x:c r="D14" s="21"/>
      <x:c r="E14" s="21"/>
      <x:c r="F14" s="21"/>
      <x:c r="G14" s="21"/>
      <x:c r="H14" s="21"/>
      <x:c r="I14" s="21"/>
      <x:c r="J14" s="21"/>
      <x:c r="K14" s="21"/>
      <x:c r="L14" s="21"/>
      <x:c r="M14" s="21"/>
      <x:c r="N14" s="21"/>
    </x:row>
    <x:row r="15">
      <x:c r="A15" s="55" t="str">
        <x:v>Pico de views</x:v>
      </x:c>
      <x:c r="B15" s="57" t="n">
        <x:f>MAX('Dados Mensais'!C2:C15)</x:f>
        <x:v>6000000</x:v>
      </x:c>
      <x:c r="C15" s="21"/>
      <x:c r="D15" s="21"/>
      <x:c r="E15" s="21"/>
      <x:c r="F15" s="21"/>
      <x:c r="G15" s="21"/>
      <x:c r="H15" s="21"/>
      <x:c r="I15" s="21"/>
      <x:c r="J15" s="21"/>
      <x:c r="K15" s="21"/>
      <x:c r="L15" s="21"/>
      <x:c r="M15" s="21"/>
      <x:c r="N15" s="21"/>
    </x:row>
    <x:row r="16">
      <x:c r="A16" s="55" t="str">
        <x:v>Crescimento de seguidores</x:v>
      </x:c>
      <x:c r="B16" s="57" t="n">
        <x:f>'Dados Mensais'!E15-'Dados Mensais'!E2</x:f>
        <x:v>27600</x:v>
      </x:c>
      <x:c r="C16" s="21"/>
      <x:c r="D16" s="21"/>
      <x:c r="E16" s="21"/>
      <x:c r="F16" s="21"/>
      <x:c r="G16" s="21"/>
      <x:c r="H16" s="21"/>
      <x:c r="I16" s="21"/>
      <x:c r="J16" s="21"/>
      <x:c r="K16" s="21"/>
      <x:c r="L16" s="21"/>
      <x:c r="M16" s="21"/>
      <x:c r="N16" s="21"/>
    </x:row>
    <x:row r="17">
      <x:c r="A17" s="55" t="str">
        <x:v>Média de público novo</x:v>
      </x:c>
      <x:c r="B17" s="59" t="n">
        <x:f>AVERAGE('Dados Mensais'!D2:D15)</x:f>
        <x:v>0.945</x:v>
      </x:c>
      <x:c r="C17" s="21"/>
      <x:c r="D17" s="21"/>
      <x:c r="E17" s="21"/>
      <x:c r="F17" s="21"/>
      <x:c r="G17" s="21"/>
      <x:c r="H17" s="21"/>
      <x:c r="I17" s="21"/>
      <x:c r="J17" s="21"/>
      <x:c r="K17" s="21"/>
      <x:c r="L17" s="21"/>
      <x:c r="M17" s="21"/>
      <x:c r="N17" s="21"/>
    </x:row>
    <x:row r="18">
      <x:c r="A18" s="21"/>
      <x:c r="B18" s="21"/>
      <x:c r="C18" s="21"/>
      <x:c r="D18" s="21"/>
      <x:c r="E18" s="21"/>
      <x:c r="F18" s="21"/>
      <x:c r="G18" s="21"/>
      <x:c r="H18" s="21"/>
      <x:c r="I18" s="21"/>
      <x:c r="J18" s="21"/>
      <x:c r="K18" s="21"/>
      <x:c r="L18" s="21"/>
      <x:c r="M18" s="21"/>
      <x:c r="N18" s="21"/>
    </x:row>
    <x:row r="19">
      <x:c r="A19" s="21"/>
      <x:c r="B19" s="21"/>
      <x:c r="C19" s="21"/>
      <x:c r="D19" s="21"/>
      <x:c r="E19" s="21"/>
      <x:c r="F19" s="21"/>
      <x:c r="G19" s="21"/>
      <x:c r="H19" s="21"/>
      <x:c r="I19" s="21"/>
      <x:c r="J19" s="21"/>
      <x:c r="K19" s="21"/>
      <x:c r="L19" s="21"/>
      <x:c r="M19" s="21"/>
      <x:c r="N19" s="21"/>
    </x:row>
    <x:row r="20">
      <x:c r="A20" s="21"/>
      <x:c r="B20" s="21"/>
      <x:c r="C20" s="21"/>
      <x:c r="D20" s="21"/>
      <x:c r="E20" s="21"/>
      <x:c r="F20" s="21"/>
      <x:c r="G20" s="21"/>
      <x:c r="H20" s="21"/>
      <x:c r="I20" s="21"/>
      <x:c r="J20" s="21"/>
      <x:c r="K20" s="21"/>
      <x:c r="L20" s="21"/>
      <x:c r="M20" s="21"/>
      <x:c r="N20" s="21"/>
    </x:row>
    <x:row r="21">
      <x:c r="A21" s="21"/>
      <x:c r="B21" s="21"/>
      <x:c r="C21" s="21"/>
      <x:c r="D21" s="21"/>
      <x:c r="E21" s="21"/>
      <x:c r="F21" s="21"/>
      <x:c r="G21" s="21"/>
      <x:c r="H21" s="21"/>
      <x:c r="I21" s="21"/>
      <x:c r="J21" s="21"/>
      <x:c r="K21" s="21"/>
      <x:c r="L21" s="21"/>
      <x:c r="M21" s="21"/>
      <x:c r="N21" s="21"/>
    </x:row>
    <x:row r="22">
      <x:c r="A22" s="21"/>
      <x:c r="B22" s="21"/>
      <x:c r="C22" s="21"/>
      <x:c r="D22" s="21"/>
      <x:c r="E22" s="21"/>
      <x:c r="F22" s="21"/>
      <x:c r="G22" s="21"/>
      <x:c r="H22" s="21"/>
      <x:c r="I22" s="21"/>
      <x:c r="J22" s="21"/>
      <x:c r="K22" s="21"/>
      <x:c r="L22" s="21"/>
      <x:c r="M22" s="21"/>
      <x:c r="N22" s="21"/>
    </x:row>
    <x:row r="23">
      <x:c r="A23" s="21"/>
      <x:c r="B23" s="21"/>
      <x:c r="C23" s="21"/>
      <x:c r="D23" s="21"/>
      <x:c r="E23" s="21"/>
      <x:c r="F23" s="21"/>
      <x:c r="G23" s="21"/>
      <x:c r="H23" s="21"/>
      <x:c r="I23" s="21"/>
      <x:c r="J23" s="21"/>
      <x:c r="K23" s="21"/>
      <x:c r="L23" s="21"/>
      <x:c r="M23" s="21"/>
      <x:c r="N23" s="21"/>
    </x:row>
    <x:row r="24">
      <x:c r="A24" s="21"/>
      <x:c r="B24" s="21"/>
      <x:c r="C24" s="21"/>
      <x:c r="D24" s="21"/>
      <x:c r="E24" s="21"/>
      <x:c r="F24" s="21"/>
      <x:c r="G24" s="21"/>
      <x:c r="H24" s="21"/>
      <x:c r="I24" s="21"/>
      <x:c r="J24" s="21"/>
      <x:c r="K24" s="21"/>
      <x:c r="L24" s="21"/>
      <x:c r="M24" s="21"/>
      <x:c r="N24" s="21"/>
    </x:row>
    <x:row r="25">
      <x:c r="A25" s="21"/>
      <x:c r="B25" s="21"/>
      <x:c r="C25" s="21"/>
      <x:c r="D25" s="21"/>
      <x:c r="E25" s="21"/>
      <x:c r="F25" s="21"/>
      <x:c r="G25" s="21"/>
      <x:c r="H25" s="21"/>
      <x:c r="I25" s="21"/>
      <x:c r="J25" s="53" t="str">
        <x:v>TOP 5 MESES</x:v>
      </x:c>
      <x:c r="K25" s="21" t="str">
        <x:v>Views</x:v>
      </x:c>
      <x:c r="L25" s="21" t="str">
        <x:v>Seguidores</x:v>
      </x:c>
      <x:c r="M25" s="21" t="str"/>
      <x:c r="N25" s="21" t="str"/>
    </x:row>
    <x:row r="26">
      <x:c r="A26" s="21"/>
      <x:c r="B26" s="21"/>
      <x:c r="C26" s="21"/>
      <x:c r="D26" s="21"/>
      <x:c r="E26" s="21"/>
      <x:c r="F26" s="21"/>
      <x:c r="G26" s="21"/>
      <x:c r="H26" s="21"/>
      <x:c r="I26" s="21"/>
      <x:c r="J26" s="61" t="str">
        <x:v>Mês</x:v>
      </x:c>
      <x:c r="K26" s="61" t="str">
        <x:v>Visualizações</x:v>
      </x:c>
      <x:c r="L26" s="61" t="str">
        <x:v>Seguidores</x:v>
      </x:c>
      <x:c r="M26" s="21"/>
      <x:c r="N26" s="21"/>
    </x:row>
    <x:row r="27">
      <x:c r="A27" s="21"/>
      <x:c r="B27" s="21"/>
      <x:c r="C27" s="21"/>
      <x:c r="D27" s="21"/>
      <x:c r="E27" s="21"/>
      <x:c r="F27" s="21"/>
      <x:c r="G27" s="21"/>
      <x:c r="H27" s="21"/>
      <x:c r="I27" s="21"/>
      <x:c r="J27" s="21" t="str">
        <x:v>Fevereiro/2026</x:v>
      </x:c>
      <x:c r="K27" s="63" t="n">
        <x:v>6000000</x:v>
      </x:c>
      <x:c r="L27" s="63" t="n">
        <x:v>22000</x:v>
      </x:c>
      <x:c r="M27" s="21"/>
      <x:c r="N27" s="21"/>
    </x:row>
    <x:row r="28">
      <x:c r="A28" s="21"/>
      <x:c r="B28" s="21"/>
      <x:c r="C28" s="21"/>
      <x:c r="D28" s="21"/>
      <x:c r="E28" s="21"/>
      <x:c r="F28" s="21"/>
      <x:c r="G28" s="21"/>
      <x:c r="H28" s="21"/>
      <x:c r="I28" s="21"/>
      <x:c r="J28" s="21" t="str">
        <x:v>Março/2026</x:v>
      </x:c>
      <x:c r="K28" s="63" t="n">
        <x:v>1700000</x:v>
      </x:c>
      <x:c r="L28" s="63" t="n">
        <x:v>25000</x:v>
      </x:c>
      <x:c r="M28" s="21"/>
      <x:c r="N28" s="21"/>
    </x:row>
    <x:row r="29">
      <x:c r="A29" s="21"/>
      <x:c r="B29" s="21"/>
      <x:c r="C29" s="21"/>
      <x:c r="D29" s="21"/>
      <x:c r="E29" s="21"/>
      <x:c r="F29" s="21"/>
      <x:c r="G29" s="21"/>
      <x:c r="H29" s="21"/>
      <x:c r="I29" s="21"/>
      <x:c r="J29" s="21" t="str">
        <x:v>Julho/2025</x:v>
      </x:c>
      <x:c r="K29" s="63" t="n">
        <x:v>1500000</x:v>
      </x:c>
      <x:c r="L29" s="63" t="n">
        <x:v>2900</x:v>
      </x:c>
      <x:c r="M29" s="21"/>
      <x:c r="N29" s="21"/>
    </x:row>
    <x:row r="30">
      <x:c r="A30" s="21"/>
      <x:c r="B30" s="21"/>
      <x:c r="C30" s="21"/>
      <x:c r="D30" s="21"/>
      <x:c r="E30" s="21"/>
      <x:c r="F30" s="21"/>
      <x:c r="G30" s="21"/>
      <x:c r="H30" s="21"/>
      <x:c r="I30" s="21"/>
      <x:c r="J30" s="21" t="str">
        <x:v>Junho/2026</x:v>
      </x:c>
      <x:c r="K30" s="63" t="n">
        <x:v>1200000</x:v>
      </x:c>
      <x:c r="L30" s="63" t="n">
        <x:v>29000</x:v>
      </x:c>
      <x:c r="M30" s="21"/>
      <x:c r="N30" s="21"/>
    </x:row>
    <x:row r="31">
      <x:c r="A31" s="21"/>
      <x:c r="B31" s="21"/>
      <x:c r="C31" s="21"/>
      <x:c r="D31" s="21"/>
      <x:c r="E31" s="21"/>
      <x:c r="F31" s="21"/>
      <x:c r="G31" s="21"/>
      <x:c r="H31" s="21"/>
      <x:c r="I31" s="21"/>
      <x:c r="J31" s="21" t="str">
        <x:v>Janeiro/2026</x:v>
      </x:c>
      <x:c r="K31" s="63" t="n">
        <x:v>1100000</x:v>
      </x:c>
      <x:c r="L31" s="63" t="n">
        <x:v>9100</x:v>
      </x:c>
      <x:c r="M31" s="21"/>
      <x:c r="N31" s="21"/>
    </x:row>
    <x:row r="32">
      <x:c r="A32" s="21"/>
      <x:c r="B32" s="21"/>
      <x:c r="C32" s="21"/>
      <x:c r="D32" s="21"/>
      <x:c r="E32" s="21"/>
      <x:c r="F32" s="21"/>
      <x:c r="G32" s="21"/>
      <x:c r="H32" s="21"/>
      <x:c r="I32" s="21"/>
      <x:c r="J32" s="21"/>
      <x:c r="K32" s="21"/>
      <x:c r="L32" s="21"/>
      <x:c r="M32" s="21"/>
      <x:c r="N32" s="21"/>
    </x:row>
    <x:row r="33">
      <x:c r="A33" s="21"/>
      <x:c r="B33" s="21"/>
      <x:c r="C33" s="21"/>
      <x:c r="D33" s="21"/>
      <x:c r="E33" s="21"/>
      <x:c r="F33" s="21"/>
      <x:c r="G33" s="21"/>
      <x:c r="H33" s="21"/>
      <x:c r="I33" s="21"/>
      <x:c r="J33" s="21"/>
      <x:c r="K33" s="21"/>
      <x:c r="L33" s="21"/>
      <x:c r="M33" s="21"/>
      <x:c r="N33" s="21"/>
    </x:row>
    <x:row r="34">
      <x:c r="A34" s="21"/>
      <x:c r="B34" s="21"/>
      <x:c r="C34" s="21"/>
      <x:c r="D34" s="21"/>
      <x:c r="E34" s="21"/>
      <x:c r="F34" s="21"/>
      <x:c r="G34" s="21"/>
      <x:c r="H34" s="21"/>
      <x:c r="I34" s="21"/>
      <x:c r="J34" s="21"/>
      <x:c r="K34" s="21"/>
      <x:c r="L34" s="21"/>
      <x:c r="M34" s="21"/>
      <x:c r="N34" s="21"/>
    </x:row>
    <x:row r="35">
      <x:c r="A35" s="21"/>
      <x:c r="B35" s="21"/>
      <x:c r="C35" s="21"/>
      <x:c r="D35" s="21"/>
      <x:c r="E35" s="21"/>
      <x:c r="F35" s="21"/>
      <x:c r="G35" s="21"/>
      <x:c r="H35" s="21"/>
      <x:c r="I35" s="21"/>
      <x:c r="J35" s="21"/>
      <x:c r="K35" s="21"/>
      <x:c r="L35" s="21"/>
      <x:c r="M35" s="21"/>
      <x:c r="N35" s="21"/>
    </x:row>
  </x:sheetData>
  <x:mergeCells>
    <x:mergeCell ref="A1:N2"/>
    <x:mergeCell ref="A3:N3"/>
    <x:mergeCell ref="A5:C6"/>
    <x:mergeCell ref="A7:C8"/>
    <x:mergeCell ref="E5:G6"/>
    <x:mergeCell ref="E7:G8"/>
    <x:mergeCell ref="I5:K6"/>
    <x:mergeCell ref="I7:K8"/>
    <x:mergeCell ref="M5:N6"/>
    <x:mergeCell ref="M7:N8"/>
    <x:mergeCell ref="A11:D11"/>
    <x:mergeCell ref="J25:N25"/>
  </x:mergeCells>
  <x:pageMargins left="0.7" right="0.7" top="0.75" bottom="0.75" header="0.3" footer="0.3"/>
  <x:drawing xmlns:r="http://schemas.openxmlformats.org/officeDocument/2006/relationships" r:id="R99aa18a8d6cc4208"/>
</x:worksheet>
</file>

<file path=xl/worksheets/sheet3.xml><?xml version="1.0" encoding="utf-8"?>
<x:worksheet xmlns:x="http://schemas.openxmlformats.org/spreadsheetml/2006/main">
  <x:sheetFormatPr defaultRowHeight="15"/>
  <x:cols>
    <x:col min="1" max="1" width="90" hidden="0" customWidth="1"/>
  </x:cols>
  <x:sheetData>
    <x:row r="1">
      <x:c r="A1" s="67" t="str">
        <x:v>COMO ATUALIZAR O PAINEL</x:v>
      </x:c>
      <x:c r="B1" s="67"/>
      <x:c r="C1" s="67"/>
      <x:c r="D1" s="67"/>
      <x:c r="E1" s="67"/>
      <x:c r="F1" s="67"/>
    </x:row>
    <x:row r="2">
      <x:c r="A2" s="67"/>
      <x:c r="B2" s="67"/>
      <x:c r="C2" s="67"/>
      <x:c r="D2" s="67"/>
      <x:c r="E2" s="67"/>
      <x:c r="F2" s="67"/>
    </x:row>
    <x:row r="4">
      <x:c r="A4" s="72" t="str">
        <x:v>1. Abra a aba “Dados Mensais”.</x:v>
      </x:c>
    </x:row>
    <x:row r="5">
      <x:c r="A5" s="72" t="str">
        <x:v>2. Insira uma nova linha com o mês, views, público não seguidor e seguidores.</x:v>
      </x:c>
    </x:row>
    <x:row r="6">
      <x:c r="A6" s="72" t="str">
        <x:v>3. Copie as fórmulas das colunas H e I para a nova linha.</x:v>
      </x:c>
    </x:row>
    <x:row r="7">
      <x:c r="A7" s="72" t="str">
        <x:v>4. O Dashboard atualiza automaticamente.</x:v>
      </x:c>
    </x:row>
    <x:row r="8">
      <x:c r="A8" s="72" t="str">
        <x:v>5. Os números desta primeira versão foram transcritos dos prints enviados.</x:v>
      </x:c>
    </x:row>
    <x:row r="9">
      <x:c r="A9" s="72" t="str">
        <x:v>6. “mil” e “mi” são valores arredondados pelo próprio Instagram.</x:v>
      </x:c>
    </x:row>
  </x:sheetData>
  <x:mergeCells>
    <x:mergeCell ref="A1:F2"/>
  </x:mergeCells>
  <x:pageMargins left="0.7" right="0.7" top="0.75" bottom="0.75" header="0.3" footer="0.3"/>
</x:worksheet>
</file>